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DiasdaSilva\Desktop\"/>
    </mc:Choice>
  </mc:AlternateContent>
  <xr:revisionPtr revIDLastSave="0" documentId="8_{85D36270-E23A-47FD-9F98-D611000ED4D5}" xr6:coauthVersionLast="47" xr6:coauthVersionMax="47" xr10:uidLastSave="{00000000-0000-0000-0000-000000000000}"/>
  <bookViews>
    <workbookView xWindow="-108" yWindow="-108" windowWidth="23256" windowHeight="12456" tabRatio="0" xr2:uid="{98583405-C09F-4085-876A-F74913497CAB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1" l="1"/>
  <c r="D21" i="1" s="1"/>
  <c r="C37" i="1"/>
  <c r="C38" i="1"/>
  <c r="C39" i="1"/>
  <c r="C40" i="1"/>
  <c r="C41" i="1"/>
  <c r="C36" i="1"/>
  <c r="A3" i="2"/>
  <c r="H2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C33" i="1"/>
  <c r="C24" i="1"/>
  <c r="D24" i="1" s="1"/>
  <c r="C25" i="1"/>
  <c r="D25" i="1" s="1"/>
  <c r="C26" i="1"/>
  <c r="D26" i="1" s="1"/>
  <c r="C27" i="1"/>
  <c r="D27" i="1" s="1"/>
  <c r="C28" i="1"/>
  <c r="D28" i="1" s="1"/>
  <c r="D14" i="1"/>
  <c r="D38" i="1" l="1"/>
  <c r="D39" i="1"/>
  <c r="D36" i="1"/>
  <c r="D40" i="1"/>
  <c r="D37" i="1"/>
  <c r="D41" i="1"/>
  <c r="D42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<sst xmlns="http://schemas.openxmlformats.org/spreadsheetml/2006/main" count="70" uniqueCount="34">
  <si>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</si>
  <si>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</si>
  <si>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</si>
  <si>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</si>
  <si>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</si>
  <si>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</si>
  <si>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</si>
  <si>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</si>
  <si>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</si>
  <si>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</si>
  <si>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</si>
  <si>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</si>
  <si>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de carteira</t>
  </si>
  <si>
    <t>Sugestãode investimento</t>
  </si>
  <si>
    <t>CONFIGURAÇÕES</t>
  </si>
  <si>
    <t>CENÁRIOS</t>
  </si>
  <si>
    <t>DIVIDENDOS</t>
  </si>
  <si>
    <t>Conservador</t>
  </si>
  <si>
    <t>Moderado</t>
  </si>
  <si>
    <t>Agressivo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</si>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</sst>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52B8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1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8" fontId="0" fillId="3" borderId="5" xfId="0" applyNumberFormat="1" applyFill="1" applyBorder="1" applyAlignment="1">
      <alignment horizontal="center"/>
    </xf>
    <xf numFmtId="8" fontId="0" fillId="3" borderId="8" xfId="0" applyNumberFormat="1" applyFill="1" applyBorder="1" applyAlignment="1">
      <alignment horizontal="center"/>
    </xf>
    <xf numFmtId="8" fontId="0" fillId="3" borderId="6" xfId="0" applyNumberFormat="1" applyFill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8" fontId="0" fillId="3" borderId="12" xfId="0" applyNumberForma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indent="4"/>
    </xf>
    <xf numFmtId="0" fontId="6" fillId="3" borderId="9" xfId="0" applyFont="1" applyFill="1" applyBorder="1" applyAlignment="1">
      <alignment horizontal="left" indent="4"/>
    </xf>
    <xf numFmtId="0" fontId="6" fillId="3" borderId="10" xfId="0" applyFont="1" applyFill="1" applyBorder="1" applyAlignment="1">
      <alignment horizontal="left" indent="4"/>
    </xf>
    <xf numFmtId="167" fontId="3" fillId="0" borderId="15" xfId="1" applyNumberFormat="1" applyFont="1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0" fontId="6" fillId="6" borderId="13" xfId="0" applyFont="1" applyFill="1" applyBorder="1" applyAlignment="1">
      <alignment horizontal="left" indent="4"/>
    </xf>
    <xf numFmtId="0" fontId="6" fillId="6" borderId="14" xfId="0" applyFont="1" applyFill="1" applyBorder="1" applyAlignment="1">
      <alignment horizontal="left" indent="4"/>
    </xf>
    <xf numFmtId="0" fontId="6" fillId="6" borderId="16" xfId="0" applyFont="1" applyFill="1" applyBorder="1" applyAlignment="1">
      <alignment horizontal="left" indent="4"/>
    </xf>
    <xf numFmtId="0" fontId="6" fillId="6" borderId="17" xfId="0" applyFont="1" applyFill="1" applyBorder="1" applyAlignment="1">
      <alignment horizontal="left" indent="4"/>
    </xf>
    <xf numFmtId="0" fontId="6" fillId="6" borderId="19" xfId="0" applyFont="1" applyFill="1" applyBorder="1" applyAlignment="1">
      <alignment horizontal="left" indent="4"/>
    </xf>
    <xf numFmtId="0" fontId="6" fillId="6" borderId="20" xfId="0" applyFont="1" applyFill="1" applyBorder="1" applyAlignment="1">
      <alignment horizontal="left" indent="4"/>
    </xf>
    <xf numFmtId="0" fontId="6" fillId="0" borderId="13" xfId="0" applyFont="1" applyBorder="1" applyAlignment="1">
      <alignment horizontal="left" indent="4"/>
    </xf>
    <xf numFmtId="0" fontId="6" fillId="0" borderId="14" xfId="0" applyFont="1" applyBorder="1" applyAlignment="1">
      <alignment horizontal="left" indent="4"/>
    </xf>
    <xf numFmtId="0" fontId="6" fillId="0" borderId="16" xfId="0" applyFont="1" applyBorder="1" applyAlignment="1">
      <alignment horizontal="left" indent="4"/>
    </xf>
    <xf numFmtId="0" fontId="6" fillId="0" borderId="17" xfId="0" applyFont="1" applyBorder="1" applyAlignment="1">
      <alignment horizontal="left" indent="4"/>
    </xf>
    <xf numFmtId="0" fontId="3" fillId="0" borderId="18" xfId="0" applyFont="1" applyBorder="1" applyAlignment="1">
      <alignment horizontal="center"/>
    </xf>
    <xf numFmtId="0" fontId="7" fillId="6" borderId="16" xfId="0" applyFont="1" applyFill="1" applyBorder="1" applyAlignment="1">
      <alignment horizontal="left" indent="4"/>
    </xf>
    <xf numFmtId="0" fontId="7" fillId="6" borderId="17" xfId="0" applyFont="1" applyFill="1" applyBorder="1" applyAlignment="1">
      <alignment horizontal="left" indent="4"/>
    </xf>
    <xf numFmtId="8" fontId="3" fillId="6" borderId="18" xfId="1" applyNumberFormat="1" applyFont="1" applyFill="1" applyBorder="1" applyAlignment="1">
      <alignment horizontal="center"/>
    </xf>
    <xf numFmtId="0" fontId="7" fillId="6" borderId="19" xfId="0" applyFont="1" applyFill="1" applyBorder="1" applyAlignment="1">
      <alignment horizontal="left" indent="4"/>
    </xf>
    <xf numFmtId="0" fontId="7" fillId="6" borderId="20" xfId="0" applyFont="1" applyFill="1" applyBorder="1" applyAlignment="1">
      <alignment horizontal="left" indent="4"/>
    </xf>
    <xf numFmtId="8" fontId="3" fillId="6" borderId="21" xfId="0" applyNumberFormat="1" applyFont="1" applyFill="1" applyBorder="1" applyAlignment="1">
      <alignment horizontal="center"/>
    </xf>
    <xf numFmtId="167" fontId="3" fillId="6" borderId="21" xfId="1" applyNumberFormat="1" applyFont="1" applyFill="1" applyBorder="1" applyAlignment="1">
      <alignment horizontal="center"/>
    </xf>
    <xf numFmtId="0" fontId="2" fillId="2" borderId="0" xfId="2"/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167" fontId="3" fillId="6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0" fillId="5" borderId="0" xfId="0" applyFill="1"/>
    <xf numFmtId="167" fontId="3" fillId="5" borderId="0" xfId="0" applyNumberFormat="1" applyFont="1" applyFill="1" applyAlignment="1">
      <alignment horizontal="center"/>
    </xf>
    <xf numFmtId="167" fontId="0" fillId="3" borderId="0" xfId="0" applyNumberFormat="1" applyFill="1"/>
    <xf numFmtId="0" fontId="0" fillId="0" borderId="4" xfId="0" applyBorder="1"/>
    <xf numFmtId="9" fontId="0" fillId="0" borderId="4" xfId="0" applyNumberFormat="1" applyBorder="1"/>
    <xf numFmtId="0" fontId="0" fillId="0" borderId="0" xfId="0" applyFill="1" applyBorder="1"/>
    <xf numFmtId="0" fontId="2" fillId="2" borderId="0" xfId="2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D52B80"/>
      <color rgb="FFF56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explosion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8-489B-832F-8D6596F3D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30480</xdr:rowOff>
    </xdr:from>
    <xdr:to>
      <xdr:col>5</xdr:col>
      <xdr:colOff>30480</xdr:colOff>
      <xdr:row>9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B49F06-6E87-4B80-EF8D-A8F645FE4C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610" b="20610"/>
        <a:stretch>
          <a:fillRect/>
        </a:stretch>
      </xdr:blipFill>
      <xdr:spPr>
        <a:xfrm>
          <a:off x="190499" y="30480"/>
          <a:ext cx="8107681" cy="1744980"/>
        </a:xfrm>
        <a:prstGeom prst="rect">
          <a:avLst/>
        </a:prstGeom>
      </xdr:spPr>
    </xdr:pic>
    <xdr:clientData/>
  </xdr:twoCellAnchor>
  <xdr:twoCellAnchor>
    <xdr:from>
      <xdr:col>1</xdr:col>
      <xdr:colOff>1363980</xdr:colOff>
      <xdr:row>44</xdr:row>
      <xdr:rowOff>19050</xdr:rowOff>
    </xdr:from>
    <xdr:to>
      <xdr:col>2</xdr:col>
      <xdr:colOff>2613660</xdr:colOff>
      <xdr:row>59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C64952-5199-A1CA-E18E-06BF61B8F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4C4E-A64C-4853-A3C5-746AF7644EE8}">
  <dimension ref="A10:F70"/>
  <sheetViews>
    <sheetView showGridLines="0" showRowColHeaders="0" tabSelected="1" topLeftCell="A41" workbookViewId="0">
      <selection activeCell="D21" sqref="D21"/>
    </sheetView>
  </sheetViews>
  <sheetFormatPr defaultColWidth="0" defaultRowHeight="14.4" x14ac:dyDescent="0.3"/>
  <cols>
    <col min="1" max="1" width="8.88671875" customWidth="1"/>
    <col min="2" max="2" width="48.44140625" customWidth="1"/>
    <col min="3" max="3" width="39.77734375" customWidth="1"/>
    <col min="4" max="4" width="20.88671875" customWidth="1"/>
    <col min="5" max="5" width="2.5546875" customWidth="1"/>
    <col min="6" max="6" width="1" customWidth="1"/>
    <col min="7" max="7" width="1.109375" customWidth="1"/>
    <col min="8" max="16384" width="8.88671875" hidden="1"/>
  </cols>
  <sheetData>
    <row r="10" spans="2:4" ht="15" thickBot="1" x14ac:dyDescent="0.35"/>
    <row r="11" spans="2:4" ht="18.600000000000001" thickBot="1" x14ac:dyDescent="0.35">
      <c r="B11" s="4" t="s">
        <v>14</v>
      </c>
      <c r="C11" s="5"/>
      <c r="D11" s="14"/>
    </row>
    <row r="12" spans="2:4" ht="16.2" thickBot="1" x14ac:dyDescent="0.35">
      <c r="B12" s="20" t="s">
        <v>11</v>
      </c>
      <c r="C12" s="21"/>
      <c r="D12" s="18">
        <v>3812</v>
      </c>
    </row>
    <row r="13" spans="2:4" ht="16.2" thickBot="1" x14ac:dyDescent="0.35">
      <c r="B13" s="22" t="s">
        <v>12</v>
      </c>
      <c r="C13" s="23"/>
      <c r="D13" s="19">
        <v>6.0000000000000001E-3</v>
      </c>
    </row>
    <row r="14" spans="2:4" ht="16.2" thickBot="1" x14ac:dyDescent="0.35">
      <c r="B14" s="24" t="s">
        <v>13</v>
      </c>
      <c r="C14" s="25"/>
      <c r="D14" s="37">
        <f>D12*30%</f>
        <v>1143.5999999999999</v>
      </c>
    </row>
    <row r="15" spans="2:4" ht="15" thickBot="1" x14ac:dyDescent="0.35"/>
    <row r="16" spans="2:4" ht="41.4" customHeight="1" thickBot="1" x14ac:dyDescent="0.35">
      <c r="B16" s="4" t="s">
        <v>5</v>
      </c>
      <c r="C16" s="5"/>
      <c r="D16" s="14"/>
    </row>
    <row r="17" spans="1:4" ht="16.2" thickBot="1" x14ac:dyDescent="0.35">
      <c r="B17" s="26" t="s">
        <v>0</v>
      </c>
      <c r="C17" s="27"/>
      <c r="D17" s="18">
        <v>300</v>
      </c>
    </row>
    <row r="18" spans="1:4" ht="16.2" thickBot="1" x14ac:dyDescent="0.35">
      <c r="B18" s="28" t="s">
        <v>1</v>
      </c>
      <c r="C18" s="29"/>
      <c r="D18" s="30">
        <v>2</v>
      </c>
    </row>
    <row r="19" spans="1:4" ht="16.2" thickBot="1" x14ac:dyDescent="0.35">
      <c r="B19" s="28" t="s">
        <v>2</v>
      </c>
      <c r="C19" s="29"/>
      <c r="D19" s="19">
        <v>1.0789999999999999E-2</v>
      </c>
    </row>
    <row r="20" spans="1:4" ht="16.2" thickBot="1" x14ac:dyDescent="0.35">
      <c r="B20" s="31" t="s">
        <v>3</v>
      </c>
      <c r="C20" s="32"/>
      <c r="D20" s="33">
        <f>FV(Taxa_mensal,Qtd_anos*12,Aporte)*-1</f>
        <v>8168.2881892935648</v>
      </c>
    </row>
    <row r="21" spans="1:4" ht="16.2" thickBot="1" x14ac:dyDescent="0.35">
      <c r="B21" s="34" t="s">
        <v>4</v>
      </c>
      <c r="C21" s="35"/>
      <c r="D21" s="36">
        <f>Patrimonio*Rendimento_Carteira</f>
        <v>49.00972913576139</v>
      </c>
    </row>
    <row r="22" spans="1:4" ht="15" thickBot="1" x14ac:dyDescent="0.35"/>
    <row r="23" spans="1:4" ht="18" x14ac:dyDescent="0.3">
      <c r="B23" s="7" t="s">
        <v>15</v>
      </c>
      <c r="C23" s="8"/>
      <c r="D23" s="6" t="s">
        <v>16</v>
      </c>
    </row>
    <row r="24" spans="1:4" ht="16.2" thickBot="1" x14ac:dyDescent="0.35">
      <c r="A24" s="3">
        <v>2</v>
      </c>
      <c r="B24" s="15" t="s">
        <v>6</v>
      </c>
      <c r="C24" s="9">
        <f>FV($D$19,$A24*12,$D$17*-1)</f>
        <v>8168.2881892935648</v>
      </c>
      <c r="D24" s="10">
        <f>C24*Rendimento_Carteira</f>
        <v>49.00972913576139</v>
      </c>
    </row>
    <row r="25" spans="1:4" ht="16.2" thickBot="1" x14ac:dyDescent="0.35">
      <c r="A25" s="3">
        <v>5</v>
      </c>
      <c r="B25" s="16" t="s">
        <v>7</v>
      </c>
      <c r="C25" s="11">
        <f>FV($D$19,$A25*12,$D$17*-1)</f>
        <v>25133.074199546292</v>
      </c>
      <c r="D25" s="10">
        <f>C25*Rendimento_Carteira</f>
        <v>150.79844519727774</v>
      </c>
    </row>
    <row r="26" spans="1:4" ht="16.2" thickBot="1" x14ac:dyDescent="0.35">
      <c r="A26" s="3">
        <v>10</v>
      </c>
      <c r="B26" s="16" t="s">
        <v>8</v>
      </c>
      <c r="C26" s="11">
        <f>FV($D$19,$A26*12,$D$17*-1)</f>
        <v>72985.263759051653</v>
      </c>
      <c r="D26" s="10">
        <f>C26*Rendimento_Carteira</f>
        <v>437.91158255430992</v>
      </c>
    </row>
    <row r="27" spans="1:4" ht="16.2" thickBot="1" x14ac:dyDescent="0.35">
      <c r="A27" s="3">
        <v>20</v>
      </c>
      <c r="B27" s="16" t="s">
        <v>9</v>
      </c>
      <c r="C27" s="11">
        <f>FV($D$19,$A27*12,$D$17*-1)</f>
        <v>337559.52002912416</v>
      </c>
      <c r="D27" s="10">
        <f>C27*Rendimento_Carteira</f>
        <v>2025.357120174745</v>
      </c>
    </row>
    <row r="28" spans="1:4" ht="16.2" thickBot="1" x14ac:dyDescent="0.35">
      <c r="A28" s="3">
        <v>30</v>
      </c>
      <c r="B28" s="17" t="s">
        <v>10</v>
      </c>
      <c r="C28" s="12">
        <f>FV($D$19,$A28*12,$D$17*-1)</f>
        <v>1296650.8965014142</v>
      </c>
      <c r="D28" s="13">
        <f>C28*Rendimento_Carteira</f>
        <v>7779.9053790084854</v>
      </c>
    </row>
    <row r="32" spans="1:4" x14ac:dyDescent="0.3">
      <c r="B32" s="38" t="s">
        <v>20</v>
      </c>
      <c r="C32" s="50" t="s">
        <v>19</v>
      </c>
      <c r="D32" s="38"/>
    </row>
    <row r="33" spans="2:4" x14ac:dyDescent="0.3">
      <c r="B33" s="40" t="s">
        <v>21</v>
      </c>
      <c r="C33" s="41">
        <f>Aporte</f>
        <v>300</v>
      </c>
      <c r="D33" s="39"/>
    </row>
    <row r="35" spans="2:4" x14ac:dyDescent="0.3">
      <c r="B35" s="42" t="s">
        <v>22</v>
      </c>
      <c r="C35" s="43" t="s">
        <v>23</v>
      </c>
      <c r="D35" s="43" t="s">
        <v>24</v>
      </c>
    </row>
    <row r="36" spans="2:4" x14ac:dyDescent="0.3">
      <c r="B36" t="s">
        <v>25</v>
      </c>
      <c r="C36" s="1">
        <f>VLOOKUP($C$32&amp;"-"&amp;B36,Planilha2!$A:$D,4,FALSE)</f>
        <v>0.5</v>
      </c>
      <c r="D36" s="46">
        <f>C36*$C$33</f>
        <v>150</v>
      </c>
    </row>
    <row r="37" spans="2:4" x14ac:dyDescent="0.3">
      <c r="B37" t="s">
        <v>26</v>
      </c>
      <c r="C37" s="1">
        <f>VLOOKUP($C$32&amp;"-"&amp;B37,Planilha2!$A:$D,4,FALSE)</f>
        <v>0.1</v>
      </c>
      <c r="D37" s="46">
        <f t="shared" ref="D37:D41" si="0">C37*$C$33</f>
        <v>30</v>
      </c>
    </row>
    <row r="38" spans="2:4" x14ac:dyDescent="0.3">
      <c r="B38" t="s">
        <v>27</v>
      </c>
      <c r="C38" s="1">
        <f>VLOOKUP($C$32&amp;"-"&amp;B38,Planilha2!$A:$D,4,FALSE)</f>
        <v>0.05</v>
      </c>
      <c r="D38" s="46">
        <f t="shared" si="0"/>
        <v>15</v>
      </c>
    </row>
    <row r="39" spans="2:4" x14ac:dyDescent="0.3">
      <c r="B39" t="s">
        <v>28</v>
      </c>
      <c r="C39" s="1">
        <f>VLOOKUP($C$32&amp;"-"&amp;B39,Planilha2!$A:$D,4,FALSE)</f>
        <v>0.05</v>
      </c>
      <c r="D39" s="46">
        <f t="shared" si="0"/>
        <v>15</v>
      </c>
    </row>
    <row r="40" spans="2:4" x14ac:dyDescent="0.3">
      <c r="B40" t="s">
        <v>29</v>
      </c>
      <c r="C40" s="1">
        <f>VLOOKUP($C$32&amp;"-"&amp;B40,Planilha2!$A:$D,4,FALSE)</f>
        <v>0.2</v>
      </c>
      <c r="D40" s="46">
        <f t="shared" si="0"/>
        <v>60</v>
      </c>
    </row>
    <row r="41" spans="2:4" x14ac:dyDescent="0.3">
      <c r="B41" t="s">
        <v>30</v>
      </c>
      <c r="C41" s="1">
        <f>VLOOKUP($C$32&amp;"-"&amp;B41,Planilha2!$A:$D,4,FALSE)</f>
        <v>0.1</v>
      </c>
      <c r="D41" s="46">
        <f t="shared" si="0"/>
        <v>30</v>
      </c>
    </row>
    <row r="42" spans="2:4" x14ac:dyDescent="0.3">
      <c r="B42" s="44"/>
      <c r="C42" s="44"/>
      <c r="D42" s="45">
        <f>SUM(D36:D41)</f>
        <v>300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</sheetData>
  <mergeCells count="11"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  <mergeCell ref="B16:D16"/>
  </mergeCells>
  <dataValidations count="1">
    <dataValidation type="list" allowBlank="1" showInputMessage="1" showErrorMessage="1" sqref="C32" xr:uid="{C94E87EC-AB33-478B-92A0-11A0D641AF16}">
      <formula1>"Conservador,Moderado,Agressivo,"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957E-FE1D-49CB-A392-6B7ECA511774}">
  <dimension ref="A2:H21"/>
  <sheetViews>
    <sheetView workbookViewId="0">
      <selection activeCell="F10" sqref="F10"/>
    </sheetView>
  </sheetViews>
  <sheetFormatPr defaultRowHeight="14.4" x14ac:dyDescent="0.3"/>
  <cols>
    <col min="1" max="1" width="17.33203125" bestFit="1" customWidth="1"/>
    <col min="2" max="2" width="11.21875" bestFit="1" customWidth="1"/>
    <col min="3" max="3" width="17.6640625" bestFit="1" customWidth="1"/>
    <col min="8" max="8" width="10.88671875" bestFit="1" customWidth="1"/>
  </cols>
  <sheetData>
    <row r="2" spans="1:8" x14ac:dyDescent="0.3">
      <c r="A2" s="2" t="s">
        <v>32</v>
      </c>
      <c r="B2" s="2" t="s">
        <v>20</v>
      </c>
      <c r="C2" s="2" t="s">
        <v>22</v>
      </c>
      <c r="D2" s="2" t="s">
        <v>31</v>
      </c>
      <c r="G2" s="2" t="s">
        <v>33</v>
      </c>
      <c r="H2">
        <f>VLOOKUP(G2,$A:$D,4,FALSE)</f>
        <v>0.35</v>
      </c>
    </row>
    <row r="3" spans="1:8" x14ac:dyDescent="0.3">
      <c r="A3" t="str">
        <f>B3&amp;"-"&amp;C3</f>
        <v>Conservador-PAPEL</v>
      </c>
      <c r="B3" t="s">
        <v>17</v>
      </c>
      <c r="C3" t="s">
        <v>25</v>
      </c>
      <c r="D3" s="1">
        <v>0.3</v>
      </c>
    </row>
    <row r="4" spans="1:8" x14ac:dyDescent="0.3">
      <c r="A4" t="str">
        <f t="shared" ref="A4:A20" si="0">B4&amp;"-"&amp;C4</f>
        <v>Conservador-TIJOLO</v>
      </c>
      <c r="B4" t="s">
        <v>17</v>
      </c>
      <c r="C4" t="s">
        <v>26</v>
      </c>
      <c r="D4" s="1">
        <v>0.5</v>
      </c>
    </row>
    <row r="5" spans="1:8" x14ac:dyDescent="0.3">
      <c r="A5" t="str">
        <f t="shared" si="0"/>
        <v>Conservador-HÍBRIDOS</v>
      </c>
      <c r="B5" t="s">
        <v>17</v>
      </c>
      <c r="C5" t="s">
        <v>27</v>
      </c>
      <c r="D5" s="1">
        <v>0.1</v>
      </c>
    </row>
    <row r="6" spans="1:8" x14ac:dyDescent="0.3">
      <c r="A6" t="str">
        <f t="shared" si="0"/>
        <v>Conservador-FOFs</v>
      </c>
      <c r="B6" t="s">
        <v>17</v>
      </c>
      <c r="C6" t="s">
        <v>28</v>
      </c>
      <c r="D6" s="1">
        <v>0.1</v>
      </c>
    </row>
    <row r="7" spans="1:8" x14ac:dyDescent="0.3">
      <c r="A7" t="str">
        <f t="shared" si="0"/>
        <v>Conservador-DESENVOLVIMENTO</v>
      </c>
      <c r="B7" t="s">
        <v>17</v>
      </c>
      <c r="C7" t="s">
        <v>29</v>
      </c>
      <c r="D7" s="1">
        <v>0</v>
      </c>
    </row>
    <row r="8" spans="1:8" ht="15" thickBot="1" x14ac:dyDescent="0.35">
      <c r="A8" s="47" t="str">
        <f t="shared" si="0"/>
        <v>Conservador-HOTELARIAS</v>
      </c>
      <c r="B8" s="47" t="s">
        <v>17</v>
      </c>
      <c r="C8" s="47" t="s">
        <v>30</v>
      </c>
      <c r="D8" s="48">
        <v>0</v>
      </c>
    </row>
    <row r="9" spans="1:8" x14ac:dyDescent="0.3">
      <c r="A9" t="str">
        <f t="shared" si="0"/>
        <v>Moderado-PAPEL</v>
      </c>
      <c r="B9" t="s">
        <v>18</v>
      </c>
      <c r="C9" t="s">
        <v>25</v>
      </c>
      <c r="D9" s="1">
        <v>0.32</v>
      </c>
    </row>
    <row r="10" spans="1:8" x14ac:dyDescent="0.3">
      <c r="A10" t="str">
        <f t="shared" si="0"/>
        <v>Moderado-TIJOLO</v>
      </c>
      <c r="B10" t="s">
        <v>18</v>
      </c>
      <c r="C10" t="s">
        <v>26</v>
      </c>
      <c r="D10" s="1">
        <v>0.35</v>
      </c>
    </row>
    <row r="11" spans="1:8" x14ac:dyDescent="0.3">
      <c r="A11" t="str">
        <f t="shared" si="0"/>
        <v>Moderado-HÍBRIDOS</v>
      </c>
      <c r="B11" t="s">
        <v>18</v>
      </c>
      <c r="C11" t="s">
        <v>27</v>
      </c>
      <c r="D11" s="1">
        <v>0.08</v>
      </c>
    </row>
    <row r="12" spans="1:8" x14ac:dyDescent="0.3">
      <c r="A12" t="str">
        <f t="shared" si="0"/>
        <v>Moderado-FOFs</v>
      </c>
      <c r="B12" t="s">
        <v>18</v>
      </c>
      <c r="C12" t="s">
        <v>28</v>
      </c>
      <c r="D12" s="1">
        <v>0.05</v>
      </c>
    </row>
    <row r="13" spans="1:8" x14ac:dyDescent="0.3">
      <c r="A13" t="str">
        <f t="shared" si="0"/>
        <v>Moderado-DESENVOLVIMENTO</v>
      </c>
      <c r="B13" t="s">
        <v>18</v>
      </c>
      <c r="C13" t="s">
        <v>29</v>
      </c>
      <c r="D13" s="1">
        <v>0.1</v>
      </c>
    </row>
    <row r="14" spans="1:8" ht="15" thickBot="1" x14ac:dyDescent="0.35">
      <c r="A14" s="47" t="str">
        <f t="shared" si="0"/>
        <v>Moderado-HOTELARIAS</v>
      </c>
      <c r="B14" s="47" t="s">
        <v>18</v>
      </c>
      <c r="C14" s="47" t="s">
        <v>30</v>
      </c>
      <c r="D14" s="48">
        <v>0.1</v>
      </c>
    </row>
    <row r="15" spans="1:8" x14ac:dyDescent="0.3">
      <c r="A15" t="str">
        <f t="shared" si="0"/>
        <v>Agressivo-PAPEL</v>
      </c>
      <c r="B15" t="s">
        <v>19</v>
      </c>
      <c r="C15" s="49" t="s">
        <v>25</v>
      </c>
      <c r="D15" s="1">
        <v>0.5</v>
      </c>
    </row>
    <row r="16" spans="1:8" x14ac:dyDescent="0.3">
      <c r="A16" t="str">
        <f t="shared" si="0"/>
        <v>Agressivo-TIJOLO</v>
      </c>
      <c r="B16" t="s">
        <v>19</v>
      </c>
      <c r="C16" s="49" t="s">
        <v>26</v>
      </c>
      <c r="D16" s="1">
        <v>0.1</v>
      </c>
    </row>
    <row r="17" spans="1:4" x14ac:dyDescent="0.3">
      <c r="A17" t="str">
        <f t="shared" si="0"/>
        <v>Agressivo-HÍBRIDOS</v>
      </c>
      <c r="B17" t="s">
        <v>19</v>
      </c>
      <c r="C17" s="49" t="s">
        <v>27</v>
      </c>
      <c r="D17" s="1">
        <v>0.05</v>
      </c>
    </row>
    <row r="18" spans="1:4" x14ac:dyDescent="0.3">
      <c r="A18" t="str">
        <f t="shared" si="0"/>
        <v>Agressivo-FOFs</v>
      </c>
      <c r="B18" t="s">
        <v>19</v>
      </c>
      <c r="C18" s="49" t="s">
        <v>28</v>
      </c>
      <c r="D18" s="1">
        <v>0.05</v>
      </c>
    </row>
    <row r="19" spans="1:4" x14ac:dyDescent="0.3">
      <c r="A19" t="str">
        <f t="shared" si="0"/>
        <v>Agressivo-DESENVOLVIMENTO</v>
      </c>
      <c r="B19" t="s">
        <v>19</v>
      </c>
      <c r="C19" s="49" t="s">
        <v>29</v>
      </c>
      <c r="D19" s="1">
        <v>0.2</v>
      </c>
    </row>
    <row r="20" spans="1:4" x14ac:dyDescent="0.3">
      <c r="A20" t="str">
        <f t="shared" si="0"/>
        <v>Agressivo-HOTELARIAS</v>
      </c>
      <c r="B20" t="s">
        <v>19</v>
      </c>
      <c r="C20" s="49" t="s">
        <v>30</v>
      </c>
      <c r="D20" s="1">
        <v>0.1</v>
      </c>
    </row>
    <row r="21" spans="1:4" x14ac:dyDescent="0.3">
      <c r="C21" s="4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Dias da Silva</dc:creator>
  <cp:lastModifiedBy>Sabrina Dias da Silva</cp:lastModifiedBy>
  <dcterms:created xsi:type="dcterms:W3CDTF">2026-08-28T11:30:18Z</dcterms:created>
  <dcterms:modified xsi:type="dcterms:W3CDTF">2026-08-28T13:32:29Z</dcterms:modified>
</cp:coreProperties>
</file>